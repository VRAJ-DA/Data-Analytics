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Desktop\github.vraj\"/>
    </mc:Choice>
  </mc:AlternateContent>
  <xr:revisionPtr revIDLastSave="0" documentId="13_ncr:1_{AEC6A926-B364-4F98-84DC-124EC3DD5B87}" xr6:coauthVersionLast="47" xr6:coauthVersionMax="47" xr10:uidLastSave="{00000000-0000-0000-0000-000000000000}"/>
  <bookViews>
    <workbookView xWindow="-120" yWindow="-120" windowWidth="29040" windowHeight="15720" xr2:uid="{F46CFB57-4E1A-47EE-BCBC-E909B77CA70C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2" i="6"/>
  <c r="G3" i="6"/>
  <c r="G4" i="6"/>
  <c r="G5" i="6"/>
  <c r="G2" i="6"/>
  <c r="C9" i="5"/>
  <c r="C8" i="5"/>
  <c r="D6" i="5"/>
  <c r="D4" i="5"/>
  <c r="D2" i="5"/>
  <c r="C8" i="4"/>
  <c r="C7" i="4"/>
  <c r="G3" i="3"/>
  <c r="G4" i="3"/>
  <c r="G5" i="3"/>
  <c r="G6" i="3"/>
  <c r="G2" i="3"/>
  <c r="F3" i="3"/>
  <c r="F4" i="3"/>
  <c r="F5" i="3"/>
  <c r="F6" i="3"/>
  <c r="F2" i="3"/>
</calcChain>
</file>

<file path=xl/sharedStrings.xml><?xml version="1.0" encoding="utf-8"?>
<sst xmlns="http://schemas.openxmlformats.org/spreadsheetml/2006/main" count="182" uniqueCount="128">
  <si>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</si>
  <si>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</si>
  <si>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</si>
  <si>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</si>
  <si>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</si>
  <si>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</si>
  <si>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</si>
  <si>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</si>
  <si>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</si>
  <si>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</si>
  <si>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</si>
  <si>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</si>
  <si>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</si>
  <si>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</si>
  <si>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</si>
  <si>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</si>
  <si>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</si>
  <si>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</si>
  <si>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</si>
  <si>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</si>
  <si>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</si>
  <si>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</si>
  <si>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</si>
  <si>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</si>
  <si>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</si>
  <si>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</si>
  <si>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</si>
  <si>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</si>
  <si>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</si>
  <si>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</si>
  <si>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</si>
  <si>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</si>
  <si>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</si>
  <si>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vraj pandya</t>
  </si>
  <si>
    <t xml:space="preserve">pavan shah </t>
  </si>
  <si>
    <t>poojan pandya</t>
  </si>
  <si>
    <t>vinit patel</t>
  </si>
  <si>
    <t>jiya patel</t>
  </si>
  <si>
    <t>hetvi joshi</t>
  </si>
  <si>
    <t>shivam shah</t>
  </si>
  <si>
    <t>sanjay dutt</t>
  </si>
  <si>
    <t>umesh pandya</t>
  </si>
  <si>
    <t>oravin dave</t>
  </si>
  <si>
    <t>hasrhil parmar</t>
  </si>
  <si>
    <t>dwij darji</t>
  </si>
  <si>
    <t>dhruv pandya</t>
  </si>
  <si>
    <t>diya patel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</si>
  <si>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</si>
  <si>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</si>
  <si>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</si>
  <si>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</si>
  <si>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</si>
  <si>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</si>
  <si>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</si>
  <si>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</si>
  <si>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</si>
  <si>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</si>
  <si>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</si>
  <si>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</si>
  <si>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</si>
  <si>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</si>
  <si>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</si>
  <si>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</si>
  <si>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</si>
  <si>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</si>
  <si>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</si>
  <si>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</si>
  <si>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</si>
  <si>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</si>
  <si>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</si>
  <si>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</si>
  <si>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</si>
  <si>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</si>
  <si>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</si>
  <si>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</si>
  <si>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</si>
  <si>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</si>
  <si>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</si>
  <si>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</si>
  <si>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</si>
  <si>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</si>
  <si>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</si>
  <si>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</si>
  <si>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</si>
  <si>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</si>
  <si>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</si>
  <si>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</si>
  <si>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</si>
  <si>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</si>
  <si>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</si>
  <si>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</si>
  <si>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</si>
  <si>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t>average salary</t>
  </si>
  <si>
    <t>total emp</t>
  </si>
  <si>
    <t>Day 1</t>
  </si>
  <si>
    <t>Day 2</t>
  </si>
  <si>
    <t>Day 3</t>
  </si>
  <si>
    <t>Day 4</t>
  </si>
  <si>
    <t>Day 5</t>
  </si>
  <si>
    <t>P</t>
  </si>
  <si>
    <t>A</t>
  </si>
  <si>
    <t>present day</t>
  </si>
  <si>
    <t>Order ID</t>
  </si>
  <si>
    <t>O101</t>
  </si>
  <si>
    <t>O102</t>
  </si>
  <si>
    <t>O103</t>
  </si>
  <si>
    <t>O104</t>
  </si>
  <si>
    <t>O105</t>
  </si>
  <si>
    <t>O106</t>
  </si>
  <si>
    <t>sales above 10000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</si>
  <si>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</si>
  <si>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</si>
  <si>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</si>
  <si>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</si>
  <si>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</si>
  <si>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</si>
  <si>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</si>
  <si>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</si>
  <si>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</si>
  <si>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</si>
  <si>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</si>
  <si>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</si>
  <si>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</si>
  <si>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</si>
  <si>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</si>
  <si>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</si>
  <si>
    <t>absent day</t>
  </si>
  <si>
    <t>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</si>
</sst>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8" fontId="0" fillId="0" borderId="0" xfId="0" applyNumberFormat="1"/>
    <xf numFmtId="14" fontId="0" fillId="0" borderId="0" xfId="0" applyNumberFormat="1"/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0" fillId="0" borderId="0" xfId="0" applyAlignment="1"/>
    <xf numFmtId="0" fontId="1" fillId="3" borderId="0" xfId="0" applyFont="1" applyFill="1"/>
    <xf numFmtId="10" fontId="0" fillId="0" borderId="0" xfId="0" applyNumberFormat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/>
    <xf numFmtId="0" fontId="1" fillId="6" borderId="1" xfId="0" applyFont="1" applyFill="1" applyBorder="1"/>
    <xf numFmtId="0" fontId="0" fillId="0" borderId="1" xfId="0" applyBorder="1"/>
    <xf numFmtId="168" fontId="0" fillId="0" borderId="1" xfId="0" applyNumberFormat="1" applyBorder="1"/>
    <xf numFmtId="0" fontId="0" fillId="0" borderId="2" xfId="0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168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286726</xdr:colOff>
      <xdr:row>29</xdr:row>
      <xdr:rowOff>19771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D1545-DD62-D47F-DAD0-85CF5D9C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8425" y="381000"/>
          <a:ext cx="6992326" cy="51632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581872</xdr:colOff>
      <xdr:row>26</xdr:row>
      <xdr:rowOff>95939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3C826-5970-7825-6119-11BEB2594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190500"/>
          <a:ext cx="6068272" cy="4934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86503</xdr:colOff>
      <xdr:row>26</xdr:row>
      <xdr:rowOff>48296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A7919-926B-56E3-D919-A1118DB90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90500"/>
          <a:ext cx="5572903" cy="4810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21</xdr:col>
      <xdr:colOff>191633</xdr:colOff>
      <xdr:row>25</xdr:row>
      <xdr:rowOff>181612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503D6-AA90-1A1F-FD16-99BDC15FA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0225" y="381000"/>
          <a:ext cx="8116433" cy="45631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2</xdr:row>
      <xdr:rowOff>171450</xdr:rowOff>
    </xdr:from>
    <xdr:to>
      <xdr:col>16</xdr:col>
      <xdr:colOff>248417</xdr:colOff>
      <xdr:row>29</xdr:row>
      <xdr:rowOff>95957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83DA-AD9F-37CE-0F46-412A40C1A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552450"/>
          <a:ext cx="5496692" cy="50680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20</xdr:col>
      <xdr:colOff>381819</xdr:colOff>
      <xdr:row>24</xdr:row>
      <xdr:rowOff>152980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52DF1-AE05-4989-423C-C84D48159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571500"/>
          <a:ext cx="5868219" cy="41534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14</xdr:col>
      <xdr:colOff>143746</xdr:colOff>
      <xdr:row>28</xdr:row>
      <xdr:rowOff>95928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479A06-F3D7-D871-93F1-70192589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571500"/>
          <a:ext cx="6239746" cy="48584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524799</xdr:colOff>
      <xdr:row>24</xdr:row>
      <xdr:rowOff>38690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8CDE1-8499-49A5-E1F9-CC0C40F0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450" y="381000"/>
          <a:ext cx="6620799" cy="42296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19</xdr:col>
      <xdr:colOff>515358</xdr:colOff>
      <xdr:row>27</xdr:row>
      <xdr:rowOff>48270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BFF4D-B43D-FD92-0E86-3C61D218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571500"/>
          <a:ext cx="7220958" cy="46202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2</xdr:row>
      <xdr:rowOff>66675</xdr:rowOff>
    </xdr:from>
    <xdr:to>
      <xdr:col>20</xdr:col>
      <xdr:colOff>144154</xdr:colOff>
      <xdr:row>25</xdr:row>
      <xdr:rowOff>162550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795EB-A331-897E-BB50-20D268890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447675"/>
          <a:ext cx="9164329" cy="447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8053-C561-4C1E-8706-88BC6D82FF5D}">
  <dimension ref="A1:G20"/>
  <sheetViews>
    <sheetView tabSelected="1" workbookViewId="0">
      <selection activeCell="G10" sqref="G10"/>
    </sheetView>
  </sheetViews>
  <sheetFormatPr defaultRowHeight="15" x14ac:dyDescent="0.25"/>
  <cols>
    <col min="2" max="2" width="14.140625" bestFit="1" customWidth="1"/>
    <col min="4" max="4" width="14.42578125" style="1" bestFit="1" customWidth="1"/>
    <col min="5" max="5" width="22.425781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7" x14ac:dyDescent="0.25">
      <c r="A2" t="s">
        <v>5</v>
      </c>
      <c r="B2" t="s">
        <v>6</v>
      </c>
      <c r="C2" t="s">
        <v>7</v>
      </c>
      <c r="D2" s="1">
        <v>32000</v>
      </c>
      <c r="E2" s="2">
        <v>44573</v>
      </c>
    </row>
    <row r="3" spans="1:7" x14ac:dyDescent="0.25">
      <c r="A3" t="s">
        <v>8</v>
      </c>
      <c r="B3" t="s">
        <v>9</v>
      </c>
      <c r="C3" t="s">
        <v>10</v>
      </c>
      <c r="D3" s="1">
        <v>45000</v>
      </c>
      <c r="E3" s="2">
        <v>44260</v>
      </c>
    </row>
    <row r="4" spans="1:7" x14ac:dyDescent="0.25">
      <c r="A4" t="s">
        <v>11</v>
      </c>
      <c r="B4" t="s">
        <v>12</v>
      </c>
      <c r="C4" t="s">
        <v>13</v>
      </c>
      <c r="D4" s="1">
        <v>38000</v>
      </c>
      <c r="E4" s="2">
        <v>44030</v>
      </c>
    </row>
    <row r="5" spans="1:7" x14ac:dyDescent="0.25">
      <c r="A5" t="s">
        <v>14</v>
      </c>
      <c r="B5" t="s">
        <v>15</v>
      </c>
      <c r="C5" t="s">
        <v>10</v>
      </c>
      <c r="D5" s="1">
        <v>52000</v>
      </c>
      <c r="E5" s="2">
        <v>43779</v>
      </c>
    </row>
    <row r="6" spans="1:7" x14ac:dyDescent="0.25">
      <c r="A6" t="s">
        <v>16</v>
      </c>
      <c r="B6" t="s">
        <v>17</v>
      </c>
      <c r="C6" t="s">
        <v>18</v>
      </c>
      <c r="D6" s="1">
        <v>30000</v>
      </c>
      <c r="E6" s="2">
        <v>45102</v>
      </c>
    </row>
    <row r="7" spans="1:7" x14ac:dyDescent="0.25">
      <c r="A7" t="s">
        <v>19</v>
      </c>
      <c r="B7" t="s">
        <v>33</v>
      </c>
      <c r="C7" t="s">
        <v>10</v>
      </c>
      <c r="D7" s="1">
        <v>45000</v>
      </c>
      <c r="E7" s="2">
        <v>45859</v>
      </c>
    </row>
    <row r="8" spans="1:7" x14ac:dyDescent="0.25">
      <c r="A8" t="s">
        <v>20</v>
      </c>
      <c r="B8" t="s">
        <v>34</v>
      </c>
      <c r="C8" t="s">
        <v>18</v>
      </c>
      <c r="D8" s="1">
        <v>65000</v>
      </c>
      <c r="E8" s="2">
        <v>45518</v>
      </c>
    </row>
    <row r="9" spans="1:7" x14ac:dyDescent="0.25">
      <c r="A9" t="s">
        <v>21</v>
      </c>
      <c r="B9" t="s">
        <v>35</v>
      </c>
      <c r="C9" t="s">
        <v>7</v>
      </c>
      <c r="D9" s="1">
        <v>52000</v>
      </c>
      <c r="E9" s="2">
        <v>45881</v>
      </c>
    </row>
    <row r="10" spans="1:7" x14ac:dyDescent="0.25">
      <c r="A10" t="s">
        <v>22</v>
      </c>
      <c r="B10" t="s">
        <v>36</v>
      </c>
      <c r="C10" t="s">
        <v>13</v>
      </c>
      <c r="D10" s="1">
        <v>12000</v>
      </c>
      <c r="E10" s="2">
        <v>45072</v>
      </c>
      <c r="G10" t="s">
        <v>127</v>
      </c>
    </row>
    <row r="11" spans="1:7" x14ac:dyDescent="0.25">
      <c r="A11" t="s">
        <v>23</v>
      </c>
      <c r="B11" t="s">
        <v>37</v>
      </c>
      <c r="C11" t="s">
        <v>18</v>
      </c>
      <c r="D11" s="1">
        <v>65000</v>
      </c>
      <c r="E11" s="2">
        <v>45747</v>
      </c>
    </row>
    <row r="12" spans="1:7" x14ac:dyDescent="0.25">
      <c r="A12" t="s">
        <v>24</v>
      </c>
      <c r="B12" t="s">
        <v>38</v>
      </c>
      <c r="C12" t="s">
        <v>7</v>
      </c>
      <c r="D12" s="1">
        <v>750000</v>
      </c>
      <c r="E12" s="2">
        <v>44251</v>
      </c>
    </row>
    <row r="13" spans="1:7" x14ac:dyDescent="0.25">
      <c r="A13" t="s">
        <v>25</v>
      </c>
      <c r="B13" t="s">
        <v>39</v>
      </c>
      <c r="C13" t="s">
        <v>18</v>
      </c>
      <c r="D13" s="1">
        <v>20000</v>
      </c>
      <c r="E13" s="2">
        <v>45829</v>
      </c>
    </row>
    <row r="14" spans="1:7" x14ac:dyDescent="0.25">
      <c r="A14" t="s">
        <v>26</v>
      </c>
      <c r="B14" t="s">
        <v>40</v>
      </c>
      <c r="C14" t="s">
        <v>10</v>
      </c>
      <c r="D14" s="1">
        <v>30000</v>
      </c>
      <c r="E14" s="2">
        <v>45061</v>
      </c>
    </row>
    <row r="15" spans="1:7" x14ac:dyDescent="0.25">
      <c r="A15" t="s">
        <v>27</v>
      </c>
      <c r="B15" t="s">
        <v>41</v>
      </c>
      <c r="C15" t="s">
        <v>18</v>
      </c>
      <c r="D15" s="1">
        <v>25000</v>
      </c>
      <c r="E15" s="2">
        <v>45915</v>
      </c>
    </row>
    <row r="16" spans="1:7" x14ac:dyDescent="0.25">
      <c r="A16" t="s">
        <v>28</v>
      </c>
      <c r="B16" t="s">
        <v>42</v>
      </c>
      <c r="C16" t="s">
        <v>13</v>
      </c>
      <c r="D16" s="1">
        <v>640000</v>
      </c>
      <c r="E16" s="2">
        <v>46017</v>
      </c>
    </row>
    <row r="17" spans="1:5" x14ac:dyDescent="0.25">
      <c r="A17" t="s">
        <v>29</v>
      </c>
      <c r="B17" t="s">
        <v>43</v>
      </c>
      <c r="C17" t="s">
        <v>10</v>
      </c>
      <c r="D17" s="1">
        <v>80000</v>
      </c>
      <c r="E17" s="2">
        <v>45431</v>
      </c>
    </row>
    <row r="18" spans="1:5" x14ac:dyDescent="0.25">
      <c r="A18" t="s">
        <v>30</v>
      </c>
      <c r="B18" t="s">
        <v>44</v>
      </c>
      <c r="C18" t="s">
        <v>7</v>
      </c>
      <c r="D18" s="1">
        <v>260000</v>
      </c>
      <c r="E18" s="2">
        <v>44429</v>
      </c>
    </row>
    <row r="19" spans="1:5" x14ac:dyDescent="0.25">
      <c r="A19" t="s">
        <v>31</v>
      </c>
      <c r="B19" t="s">
        <v>45</v>
      </c>
      <c r="C19" t="s">
        <v>18</v>
      </c>
      <c r="D19" s="1">
        <v>23000</v>
      </c>
      <c r="E19" s="2">
        <v>43846</v>
      </c>
    </row>
    <row r="20" spans="1:5" x14ac:dyDescent="0.25">
      <c r="A20" t="s">
        <v>32</v>
      </c>
      <c r="B20" t="s">
        <v>46</v>
      </c>
      <c r="C20" t="s">
        <v>10</v>
      </c>
      <c r="D20" s="1">
        <v>44000</v>
      </c>
      <c r="E20" s="2">
        <v>43851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75F1-504F-4306-9D61-DFB6C6E8DDD7}">
  <dimension ref="A1:D7"/>
  <sheetViews>
    <sheetView workbookViewId="0">
      <selection activeCell="G2" sqref="G2"/>
    </sheetView>
  </sheetViews>
  <sheetFormatPr defaultRowHeight="15" x14ac:dyDescent="0.25"/>
  <cols>
    <col min="1" max="1" width="26.42578125" bestFit="1" customWidth="1"/>
    <col min="2" max="2" width="9.85546875" bestFit="1" customWidth="1"/>
    <col min="3" max="3" width="18.5703125" bestFit="1" customWidth="1"/>
    <col min="4" max="4" width="16.140625" bestFit="1" customWidth="1"/>
  </cols>
  <sheetData>
    <row r="1" spans="1:4" x14ac:dyDescent="0.25">
      <c r="A1" s="4" t="s">
        <v>63</v>
      </c>
      <c r="B1" s="4"/>
      <c r="C1" s="4"/>
      <c r="D1" s="4"/>
    </row>
    <row r="2" spans="1:4" x14ac:dyDescent="0.25">
      <c r="A2" s="4"/>
      <c r="B2" s="4"/>
      <c r="C2" s="4"/>
      <c r="D2" s="4"/>
    </row>
    <row r="3" spans="1:4" ht="21" x14ac:dyDescent="0.35">
      <c r="A3" s="3" t="s">
        <v>47</v>
      </c>
      <c r="B3" s="3" t="s">
        <v>48</v>
      </c>
      <c r="C3" s="3" t="s">
        <v>49</v>
      </c>
      <c r="D3" s="3" t="s">
        <v>50</v>
      </c>
    </row>
    <row r="4" spans="1:4" x14ac:dyDescent="0.25">
      <c r="A4" s="5" t="s">
        <v>51</v>
      </c>
      <c r="B4" t="s">
        <v>52</v>
      </c>
      <c r="C4" s="1">
        <v>45000</v>
      </c>
      <c r="D4" t="s">
        <v>53</v>
      </c>
    </row>
    <row r="5" spans="1:4" x14ac:dyDescent="0.25">
      <c r="A5" s="5" t="s">
        <v>54</v>
      </c>
      <c r="B5" t="s">
        <v>55</v>
      </c>
      <c r="C5" s="1">
        <v>1200</v>
      </c>
      <c r="D5" t="s">
        <v>56</v>
      </c>
    </row>
    <row r="6" spans="1:4" x14ac:dyDescent="0.25">
      <c r="A6" s="5" t="s">
        <v>57</v>
      </c>
      <c r="B6" t="s">
        <v>58</v>
      </c>
      <c r="C6" s="1">
        <v>18000</v>
      </c>
      <c r="D6" t="s">
        <v>59</v>
      </c>
    </row>
    <row r="7" spans="1:4" x14ac:dyDescent="0.25">
      <c r="A7" s="5" t="s">
        <v>60</v>
      </c>
      <c r="B7" t="s">
        <v>61</v>
      </c>
      <c r="C7" s="1">
        <v>62000</v>
      </c>
      <c r="D7" t="s">
        <v>62</v>
      </c>
    </row>
  </sheetData>
  <mergeCells count="1">
    <mergeCell ref="A1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6B33-32DB-4D73-A746-96049E14BC9D}">
  <dimension ref="A1:G6"/>
  <sheetViews>
    <sheetView workbookViewId="0">
      <selection activeCell="J2" sqref="J2"/>
    </sheetView>
  </sheetViews>
  <sheetFormatPr defaultRowHeight="15" x14ac:dyDescent="0.25"/>
  <cols>
    <col min="5" max="5" width="7.28515625" bestFit="1" customWidth="1"/>
    <col min="6" max="6" width="7.28515625" customWidth="1"/>
    <col min="7" max="7" width="11" bestFit="1" customWidth="1"/>
  </cols>
  <sheetData>
    <row r="1" spans="1:7" x14ac:dyDescent="0.25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75</v>
      </c>
      <c r="G1" s="6" t="s">
        <v>69</v>
      </c>
    </row>
    <row r="2" spans="1:7" x14ac:dyDescent="0.25">
      <c r="A2">
        <v>1</v>
      </c>
      <c r="B2" t="s">
        <v>70</v>
      </c>
      <c r="C2">
        <v>78</v>
      </c>
      <c r="D2">
        <v>82</v>
      </c>
      <c r="E2">
        <v>74</v>
      </c>
      <c r="F2">
        <f>SUM(C2:E2)</f>
        <v>234</v>
      </c>
      <c r="G2" s="7">
        <f>F2/300</f>
        <v>0.78</v>
      </c>
    </row>
    <row r="3" spans="1:7" x14ac:dyDescent="0.25">
      <c r="A3">
        <v>2</v>
      </c>
      <c r="B3" t="s">
        <v>71</v>
      </c>
      <c r="C3">
        <v>65</v>
      </c>
      <c r="D3">
        <v>70</v>
      </c>
      <c r="E3">
        <v>68</v>
      </c>
      <c r="F3">
        <f t="shared" ref="F3:F6" si="0">SUM(C3:E3)</f>
        <v>203</v>
      </c>
      <c r="G3" s="7">
        <f t="shared" ref="G3:G6" si="1">F3/300</f>
        <v>0.67666666666666664</v>
      </c>
    </row>
    <row r="4" spans="1:7" x14ac:dyDescent="0.25">
      <c r="A4">
        <v>3</v>
      </c>
      <c r="B4" t="s">
        <v>72</v>
      </c>
      <c r="C4">
        <v>90</v>
      </c>
      <c r="D4">
        <v>88</v>
      </c>
      <c r="E4">
        <v>92</v>
      </c>
      <c r="F4">
        <f t="shared" si="0"/>
        <v>270</v>
      </c>
      <c r="G4" s="7">
        <f t="shared" si="1"/>
        <v>0.9</v>
      </c>
    </row>
    <row r="5" spans="1:7" x14ac:dyDescent="0.25">
      <c r="A5">
        <v>4</v>
      </c>
      <c r="B5" t="s">
        <v>73</v>
      </c>
      <c r="C5">
        <v>35</v>
      </c>
      <c r="D5">
        <v>40</v>
      </c>
      <c r="E5">
        <v>38</v>
      </c>
      <c r="F5">
        <f t="shared" si="0"/>
        <v>113</v>
      </c>
      <c r="G5" s="7">
        <f t="shared" si="1"/>
        <v>0.37666666666666665</v>
      </c>
    </row>
    <row r="6" spans="1:7" x14ac:dyDescent="0.25">
      <c r="A6">
        <v>5</v>
      </c>
      <c r="B6" t="s">
        <v>74</v>
      </c>
      <c r="C6">
        <v>55</v>
      </c>
      <c r="D6">
        <v>60</v>
      </c>
      <c r="E6">
        <v>58</v>
      </c>
      <c r="F6">
        <f t="shared" si="0"/>
        <v>173</v>
      </c>
      <c r="G6" s="7">
        <f t="shared" si="1"/>
        <v>0.57666666666666666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7A0A-F892-4539-934A-8D486FF350A7}">
  <dimension ref="A1:C8"/>
  <sheetViews>
    <sheetView workbookViewId="0">
      <selection activeCell="G9" sqref="G9"/>
    </sheetView>
  </sheetViews>
  <sheetFormatPr defaultRowHeight="15" x14ac:dyDescent="0.25"/>
  <cols>
    <col min="1" max="1" width="10.42578125" bestFit="1" customWidth="1"/>
    <col min="2" max="2" width="14.7109375" bestFit="1" customWidth="1"/>
    <col min="3" max="3" width="13.28515625" bestFit="1" customWidth="1"/>
  </cols>
  <sheetData>
    <row r="1" spans="1:3" x14ac:dyDescent="0.25">
      <c r="A1" s="8" t="s">
        <v>76</v>
      </c>
      <c r="B1" s="8" t="s">
        <v>77</v>
      </c>
      <c r="C1" s="8" t="s">
        <v>49</v>
      </c>
    </row>
    <row r="2" spans="1:3" x14ac:dyDescent="0.25">
      <c r="A2" t="s">
        <v>78</v>
      </c>
      <c r="B2">
        <v>45292</v>
      </c>
      <c r="C2">
        <v>12000</v>
      </c>
    </row>
    <row r="3" spans="1:3" x14ac:dyDescent="0.25">
      <c r="A3" t="s">
        <v>79</v>
      </c>
      <c r="B3">
        <v>45294</v>
      </c>
      <c r="C3">
        <v>25000</v>
      </c>
    </row>
    <row r="4" spans="1:3" x14ac:dyDescent="0.25">
      <c r="A4" t="s">
        <v>80</v>
      </c>
      <c r="B4">
        <v>45296</v>
      </c>
      <c r="C4">
        <v>8000</v>
      </c>
    </row>
    <row r="5" spans="1:3" x14ac:dyDescent="0.25">
      <c r="A5" t="s">
        <v>81</v>
      </c>
      <c r="B5">
        <v>45299</v>
      </c>
      <c r="C5">
        <v>32000</v>
      </c>
    </row>
    <row r="6" spans="1:3" x14ac:dyDescent="0.25">
      <c r="A6" t="s">
        <v>82</v>
      </c>
      <c r="B6">
        <v>45301</v>
      </c>
      <c r="C6">
        <v>15000</v>
      </c>
    </row>
    <row r="7" spans="1:3" x14ac:dyDescent="0.25">
      <c r="A7" s="9" t="s">
        <v>83</v>
      </c>
      <c r="B7" s="9"/>
      <c r="C7" s="10">
        <f>SUM(C2:C6)</f>
        <v>92000</v>
      </c>
    </row>
    <row r="8" spans="1:3" x14ac:dyDescent="0.25">
      <c r="A8" s="11" t="s">
        <v>84</v>
      </c>
      <c r="B8" s="11"/>
      <c r="C8" s="12">
        <f>AVERAGE(C2:C6)</f>
        <v>18400</v>
      </c>
    </row>
  </sheetData>
  <mergeCells count="2">
    <mergeCell ref="A7:B7"/>
    <mergeCell ref="A8:B8"/>
  </mergeCells>
  <conditionalFormatting sqref="C2:C6">
    <cfRule type="top10" dxfId="11" priority="1" bottom="1" rank="1"/>
    <cfRule type="top10" dxfId="10" priority="2" rank="1"/>
    <cfRule type="top10" priority="3" rank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D11F-E3C0-4A5E-B0A9-38E60DEFB60D}">
  <dimension ref="A1:D9"/>
  <sheetViews>
    <sheetView workbookViewId="0">
      <selection activeCell="G4" sqref="G4"/>
    </sheetView>
  </sheetViews>
  <sheetFormatPr defaultRowHeight="15" x14ac:dyDescent="0.25"/>
  <cols>
    <col min="2" max="2" width="11.7109375" bestFit="1" customWidth="1"/>
    <col min="3" max="4" width="10.7109375" bestFit="1" customWidth="1"/>
  </cols>
  <sheetData>
    <row r="1" spans="1:4" x14ac:dyDescent="0.25">
      <c r="A1" s="14" t="s">
        <v>85</v>
      </c>
      <c r="B1" s="14" t="s">
        <v>2</v>
      </c>
      <c r="C1" s="14" t="s">
        <v>3</v>
      </c>
    </row>
    <row r="2" spans="1:4" x14ac:dyDescent="0.25">
      <c r="A2" s="15" t="s">
        <v>91</v>
      </c>
      <c r="B2" s="15" t="s">
        <v>13</v>
      </c>
      <c r="C2" s="16">
        <v>38000</v>
      </c>
      <c r="D2" s="18">
        <f>SUM(C2:C3)</f>
        <v>80000</v>
      </c>
    </row>
    <row r="3" spans="1:4" x14ac:dyDescent="0.25">
      <c r="A3" s="15" t="s">
        <v>89</v>
      </c>
      <c r="B3" s="15" t="s">
        <v>13</v>
      </c>
      <c r="C3" s="16">
        <v>42000</v>
      </c>
      <c r="D3" s="17"/>
    </row>
    <row r="4" spans="1:4" x14ac:dyDescent="0.25">
      <c r="A4" s="15" t="s">
        <v>90</v>
      </c>
      <c r="B4" s="15" t="s">
        <v>7</v>
      </c>
      <c r="C4" s="16">
        <v>30000</v>
      </c>
      <c r="D4" s="18">
        <f>SUM(C4:C5)</f>
        <v>58000</v>
      </c>
    </row>
    <row r="5" spans="1:4" x14ac:dyDescent="0.25">
      <c r="A5" s="15" t="s">
        <v>86</v>
      </c>
      <c r="B5" s="15" t="s">
        <v>7</v>
      </c>
      <c r="C5" s="16">
        <v>28000</v>
      </c>
      <c r="D5" s="17"/>
    </row>
    <row r="6" spans="1:4" x14ac:dyDescent="0.25">
      <c r="A6" s="15" t="s">
        <v>88</v>
      </c>
      <c r="B6" s="15" t="s">
        <v>10</v>
      </c>
      <c r="C6" s="16">
        <v>50000</v>
      </c>
      <c r="D6" s="18">
        <f>SUM(C6:C7)</f>
        <v>95000</v>
      </c>
    </row>
    <row r="7" spans="1:4" x14ac:dyDescent="0.25">
      <c r="A7" s="15" t="s">
        <v>87</v>
      </c>
      <c r="B7" s="15" t="s">
        <v>10</v>
      </c>
      <c r="C7" s="16">
        <v>45000</v>
      </c>
      <c r="D7" s="17"/>
    </row>
    <row r="8" spans="1:4" x14ac:dyDescent="0.25">
      <c r="A8" s="19" t="s">
        <v>92</v>
      </c>
      <c r="B8" s="19"/>
      <c r="C8" s="20">
        <f>AVERAGE(C2:C7)</f>
        <v>38833.333333333336</v>
      </c>
    </row>
    <row r="9" spans="1:4" x14ac:dyDescent="0.25">
      <c r="A9" s="21" t="s">
        <v>93</v>
      </c>
      <c r="B9" s="21"/>
      <c r="C9" s="22">
        <f>COUNTA(A2:A7)</f>
        <v>6</v>
      </c>
    </row>
  </sheetData>
  <sortState xmlns:xlrd2="http://schemas.microsoft.com/office/spreadsheetml/2017/richdata2" ref="A2:C8">
    <sortCondition ref="B1:B8"/>
  </sortState>
  <mergeCells count="5">
    <mergeCell ref="D2:D3"/>
    <mergeCell ref="D4:D5"/>
    <mergeCell ref="D6:D7"/>
    <mergeCell ref="A8:B8"/>
    <mergeCell ref="A9:B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A344-43D4-4728-AC6C-33370D67592B}">
  <dimension ref="A1:H5"/>
  <sheetViews>
    <sheetView workbookViewId="0">
      <selection activeCell="L4" sqref="L4"/>
    </sheetView>
  </sheetViews>
  <sheetFormatPr defaultRowHeight="15" x14ac:dyDescent="0.25"/>
  <cols>
    <col min="7" max="7" width="11.42578125" bestFit="1" customWidth="1"/>
    <col min="8" max="8" width="10.5703125" bestFit="1" customWidth="1"/>
  </cols>
  <sheetData>
    <row r="1" spans="1:8" x14ac:dyDescent="0.25">
      <c r="A1" s="14" t="s">
        <v>65</v>
      </c>
      <c r="B1" s="14" t="s">
        <v>94</v>
      </c>
      <c r="C1" s="14" t="s">
        <v>95</v>
      </c>
      <c r="D1" s="14" t="s">
        <v>96</v>
      </c>
      <c r="E1" s="14" t="s">
        <v>97</v>
      </c>
      <c r="F1" s="14" t="s">
        <v>98</v>
      </c>
      <c r="G1" s="14" t="s">
        <v>101</v>
      </c>
      <c r="H1" s="14" t="s">
        <v>126</v>
      </c>
    </row>
    <row r="2" spans="1:8" x14ac:dyDescent="0.25">
      <c r="A2" s="15" t="s">
        <v>70</v>
      </c>
      <c r="B2" s="15" t="s">
        <v>99</v>
      </c>
      <c r="C2" s="15" t="s">
        <v>100</v>
      </c>
      <c r="D2" s="15" t="s">
        <v>99</v>
      </c>
      <c r="E2" s="15" t="s">
        <v>99</v>
      </c>
      <c r="F2" s="15" t="s">
        <v>99</v>
      </c>
      <c r="G2" s="15">
        <f>COUNTIF(B2:F2,"p")</f>
        <v>4</v>
      </c>
      <c r="H2" s="15">
        <f>COUNTIF(B2:F2,"a")</f>
        <v>1</v>
      </c>
    </row>
    <row r="3" spans="1:8" x14ac:dyDescent="0.25">
      <c r="A3" s="15" t="s">
        <v>71</v>
      </c>
      <c r="B3" s="15" t="s">
        <v>99</v>
      </c>
      <c r="C3" s="15" t="s">
        <v>99</v>
      </c>
      <c r="D3" s="15" t="s">
        <v>99</v>
      </c>
      <c r="E3" s="15" t="s">
        <v>100</v>
      </c>
      <c r="F3" s="15" t="s">
        <v>99</v>
      </c>
      <c r="G3" s="15">
        <f t="shared" ref="G3:G5" si="0">COUNTIF(B3:F3,"p")</f>
        <v>4</v>
      </c>
      <c r="H3" s="15">
        <f t="shared" ref="H3:H5" si="1">COUNTIF(B3:F3,"a")</f>
        <v>1</v>
      </c>
    </row>
    <row r="4" spans="1:8" x14ac:dyDescent="0.25">
      <c r="A4" s="15" t="s">
        <v>72</v>
      </c>
      <c r="B4" s="15" t="s">
        <v>100</v>
      </c>
      <c r="C4" s="15" t="s">
        <v>99</v>
      </c>
      <c r="D4" s="15" t="s">
        <v>99</v>
      </c>
      <c r="E4" s="15" t="s">
        <v>99</v>
      </c>
      <c r="F4" s="15" t="s">
        <v>99</v>
      </c>
      <c r="G4" s="15">
        <f t="shared" si="0"/>
        <v>4</v>
      </c>
      <c r="H4" s="15">
        <f t="shared" si="1"/>
        <v>1</v>
      </c>
    </row>
    <row r="5" spans="1:8" x14ac:dyDescent="0.25">
      <c r="A5" s="15" t="s">
        <v>73</v>
      </c>
      <c r="B5" s="15" t="s">
        <v>99</v>
      </c>
      <c r="C5" s="15" t="s">
        <v>100</v>
      </c>
      <c r="D5" s="15" t="s">
        <v>100</v>
      </c>
      <c r="E5" s="15" t="s">
        <v>99</v>
      </c>
      <c r="F5" s="15" t="s">
        <v>100</v>
      </c>
      <c r="G5" s="15">
        <f t="shared" si="0"/>
        <v>2</v>
      </c>
      <c r="H5" s="15">
        <f t="shared" si="1"/>
        <v>3</v>
      </c>
    </row>
  </sheetData>
  <conditionalFormatting sqref="A1:G5 H1">
    <cfRule type="cellIs" dxfId="9" priority="1" operator="equal">
      <formula>"p"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C334-82BF-49CC-93B4-76A1F969EF7F}">
  <dimension ref="A1:B8"/>
  <sheetViews>
    <sheetView workbookViewId="0">
      <selection activeCell="E4" sqref="E4"/>
    </sheetView>
  </sheetViews>
  <sheetFormatPr defaultRowHeight="15" x14ac:dyDescent="0.25"/>
  <cols>
    <col min="1" max="1" width="8.42578125" bestFit="1" customWidth="1"/>
    <col min="2" max="2" width="13.28515625" bestFit="1" customWidth="1"/>
  </cols>
  <sheetData>
    <row r="1" spans="1:2" x14ac:dyDescent="0.25">
      <c r="A1" s="23" t="s">
        <v>109</v>
      </c>
      <c r="B1" s="23"/>
    </row>
    <row r="2" spans="1:2" x14ac:dyDescent="0.25">
      <c r="A2" s="13" t="s">
        <v>102</v>
      </c>
      <c r="B2" s="13" t="s">
        <v>49</v>
      </c>
    </row>
    <row r="3" spans="1:2" x14ac:dyDescent="0.25">
      <c r="A3" t="s">
        <v>103</v>
      </c>
      <c r="B3">
        <v>4500</v>
      </c>
    </row>
    <row r="4" spans="1:2" x14ac:dyDescent="0.25">
      <c r="A4" t="s">
        <v>104</v>
      </c>
      <c r="B4">
        <v>12000</v>
      </c>
    </row>
    <row r="5" spans="1:2" x14ac:dyDescent="0.25">
      <c r="A5" t="s">
        <v>105</v>
      </c>
      <c r="B5">
        <v>8000</v>
      </c>
    </row>
    <row r="6" spans="1:2" x14ac:dyDescent="0.25">
      <c r="A6" t="s">
        <v>106</v>
      </c>
      <c r="B6">
        <v>25000</v>
      </c>
    </row>
    <row r="7" spans="1:2" x14ac:dyDescent="0.25">
      <c r="A7" t="s">
        <v>107</v>
      </c>
      <c r="B7">
        <v>3000</v>
      </c>
    </row>
    <row r="8" spans="1:2" x14ac:dyDescent="0.25">
      <c r="A8" t="s">
        <v>108</v>
      </c>
      <c r="B8">
        <v>15000</v>
      </c>
    </row>
  </sheetData>
  <mergeCells count="1">
    <mergeCell ref="A1:B1"/>
  </mergeCells>
  <conditionalFormatting sqref="B3:B8">
    <cfRule type="cellIs" dxfId="7" priority="2" operator="greaterThan">
      <formula>10000</formula>
    </cfRule>
    <cfRule type="cellIs" dxfId="8" priority="1" operator="lessThan">
      <formula>5000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E842-AFD5-470A-A6D8-692A61A1E51D}">
  <dimension ref="A1:B6"/>
  <sheetViews>
    <sheetView workbookViewId="0">
      <selection activeCell="H3" sqref="H3"/>
    </sheetView>
  </sheetViews>
  <sheetFormatPr defaultRowHeight="15" x14ac:dyDescent="0.25"/>
  <cols>
    <col min="1" max="1" width="12.140625" bestFit="1" customWidth="1"/>
    <col min="2" max="2" width="13.28515625" bestFit="1" customWidth="1"/>
  </cols>
  <sheetData>
    <row r="1" spans="1:2" x14ac:dyDescent="0.25">
      <c r="A1" s="13" t="s">
        <v>110</v>
      </c>
      <c r="B1" s="13" t="s">
        <v>49</v>
      </c>
    </row>
    <row r="2" spans="1:2" x14ac:dyDescent="0.25">
      <c r="A2" t="s">
        <v>111</v>
      </c>
      <c r="B2">
        <v>22000</v>
      </c>
    </row>
    <row r="3" spans="1:2" x14ac:dyDescent="0.25">
      <c r="A3" t="s">
        <v>112</v>
      </c>
      <c r="B3">
        <v>3500</v>
      </c>
    </row>
    <row r="4" spans="1:2" x14ac:dyDescent="0.25">
      <c r="A4" t="s">
        <v>113</v>
      </c>
      <c r="B4">
        <v>58000</v>
      </c>
    </row>
    <row r="5" spans="1:2" x14ac:dyDescent="0.25">
      <c r="A5" t="s">
        <v>114</v>
      </c>
      <c r="B5">
        <v>1800</v>
      </c>
    </row>
    <row r="6" spans="1:2" x14ac:dyDescent="0.25">
      <c r="A6" t="s">
        <v>115</v>
      </c>
      <c r="B6">
        <v>12000</v>
      </c>
    </row>
  </sheetData>
  <conditionalFormatting sqref="B2:B6">
    <cfRule type="cellIs" dxfId="5" priority="2" operator="greaterThan">
      <formula>20000</formula>
    </cfRule>
    <cfRule type="cellIs" dxfId="6" priority="1" operator="lessThan">
      <formula>5000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CDA0-04BB-4BBD-B83E-C922C8C7815A}">
  <dimension ref="A1:C6"/>
  <sheetViews>
    <sheetView workbookViewId="0">
      <selection activeCell="I4" sqref="I4"/>
    </sheetView>
  </sheetViews>
  <sheetFormatPr defaultRowHeight="15" x14ac:dyDescent="0.25"/>
  <sheetData>
    <row r="1" spans="1:3" x14ac:dyDescent="0.25">
      <c r="A1" s="13" t="s">
        <v>64</v>
      </c>
      <c r="B1" s="13" t="s">
        <v>1</v>
      </c>
      <c r="C1" s="13" t="s">
        <v>116</v>
      </c>
    </row>
    <row r="2" spans="1:3" x14ac:dyDescent="0.25">
      <c r="A2">
        <v>1</v>
      </c>
      <c r="B2" t="s">
        <v>90</v>
      </c>
      <c r="C2">
        <v>85</v>
      </c>
    </row>
    <row r="3" spans="1:3" x14ac:dyDescent="0.25">
      <c r="A3">
        <v>2</v>
      </c>
      <c r="B3" t="s">
        <v>117</v>
      </c>
      <c r="C3">
        <v>72</v>
      </c>
    </row>
    <row r="4" spans="1:3" x14ac:dyDescent="0.25">
      <c r="A4">
        <v>3</v>
      </c>
      <c r="B4" t="s">
        <v>118</v>
      </c>
      <c r="C4">
        <v>39</v>
      </c>
    </row>
    <row r="5" spans="1:3" x14ac:dyDescent="0.25">
      <c r="A5">
        <v>4</v>
      </c>
      <c r="B5" t="s">
        <v>119</v>
      </c>
      <c r="C5">
        <v>91</v>
      </c>
    </row>
    <row r="6" spans="1:3" x14ac:dyDescent="0.25">
      <c r="A6">
        <v>5</v>
      </c>
      <c r="B6" t="s">
        <v>120</v>
      </c>
      <c r="C6">
        <v>28</v>
      </c>
    </row>
  </sheetData>
  <conditionalFormatting sqref="C2:C6">
    <cfRule type="cellIs" dxfId="3" priority="2" operator="greaterThan">
      <formula>75</formula>
    </cfRule>
    <cfRule type="cellIs" dxfId="4" priority="1" operator="lessThan">
      <formula>40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4F3B-A3D9-4661-B9A1-AF2E3748E679}">
  <dimension ref="A1:B6"/>
  <sheetViews>
    <sheetView workbookViewId="0">
      <selection activeCell="F3" sqref="F3"/>
    </sheetView>
  </sheetViews>
  <sheetFormatPr defaultRowHeight="15" x14ac:dyDescent="0.25"/>
  <cols>
    <col min="2" max="2" width="12.85546875" customWidth="1"/>
  </cols>
  <sheetData>
    <row r="1" spans="1:2" x14ac:dyDescent="0.25">
      <c r="A1" s="13" t="s">
        <v>85</v>
      </c>
      <c r="B1" s="13" t="s">
        <v>3</v>
      </c>
    </row>
    <row r="2" spans="1:2" x14ac:dyDescent="0.25">
      <c r="A2" t="s">
        <v>121</v>
      </c>
      <c r="B2" s="1">
        <v>28000</v>
      </c>
    </row>
    <row r="3" spans="1:2" x14ac:dyDescent="0.25">
      <c r="A3" t="s">
        <v>122</v>
      </c>
      <c r="B3" s="1">
        <v>34000</v>
      </c>
    </row>
    <row r="4" spans="1:2" x14ac:dyDescent="0.25">
      <c r="A4" t="s">
        <v>123</v>
      </c>
      <c r="B4" s="1">
        <v>51000</v>
      </c>
    </row>
    <row r="5" spans="1:2" x14ac:dyDescent="0.25">
      <c r="A5" t="s">
        <v>124</v>
      </c>
      <c r="B5" s="1">
        <v>47000</v>
      </c>
    </row>
    <row r="6" spans="1:2" x14ac:dyDescent="0.25">
      <c r="A6" t="s">
        <v>125</v>
      </c>
      <c r="B6" s="1">
        <v>29000</v>
      </c>
    </row>
  </sheetData>
  <conditionalFormatting sqref="B2:B6">
    <cfRule type="cellIs" dxfId="0" priority="3" operator="greaterThan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2026-01-24T14:39:00Z</dcterms:created>
  <dcterms:modified xsi:type="dcterms:W3CDTF">2026-01-24T15:49:59Z</dcterms:modified>
</cp:coreProperties>
</file>